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ources &amp; Uses" sheetId="2" state="visible" r:id="rId4"/>
    <sheet name="Operating Model" sheetId="3" state="visible" r:id="rId5"/>
    <sheet name="Debt Schedule" sheetId="4" state="visible" r:id="rId6"/>
    <sheet name="Credit Metrics" sheetId="5" state="visible" r:id="rId7"/>
    <sheet name="Retur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<sst xmlns="http://schemas.openxmlformats.org/spreadsheetml/2006/main" count="144" uniqueCount="124">
  <si>
    <t xml:space="preserve">Morrisons LBO &amp; Credit Analysis — Key Assumptions</t>
  </si>
  <si>
    <t xml:space="preserve">ENTRY ASSUMPTIONS</t>
  </si>
  <si>
    <t xml:space="preserve">Entry EBITDA (£m)</t>
  </si>
  <si>
    <t xml:space="preserve">Source: Derived: FY21/22 adjusted EBITDA of £828m was reported down 15% YoY (Retail Insight Network) → implies FY20/21 EBITDA ≈ 828/0.85 ≈ £974m</t>
  </si>
  <si>
    <t xml:space="preserve">Entry EV / EBITDA Multiple (x)</t>
  </si>
  <si>
    <t xml:space="preserve">Source: Implied by £10bn total deal value (incl. debt) reported by multiple outlets (Sky News/ICMA Centre) ÷ £974m entry EBITDA</t>
  </si>
  <si>
    <t xml:space="preserve">Entry Enterprise Value (£m)</t>
  </si>
  <si>
    <t xml:space="preserve">Note: Entry EBITDA × Entry Multiple (checks to ~£10.0bn, consistent with reported deal value)</t>
  </si>
  <si>
    <t xml:space="preserve">OPERATING ASSUMPTIONS</t>
  </si>
  <si>
    <t xml:space="preserve">Year 0 Revenue (£m)</t>
  </si>
  <si>
    <t xml:space="preserve">Source/Note: Source: Morrisons FY20/21 turnover of ~£17.6bn (Statista / Morrisons Corporate)</t>
  </si>
  <si>
    <t xml:space="preserve">Annual Revenue Growth (%)</t>
  </si>
  <si>
    <t xml:space="preserve">Source/Note: Assumption: broadly flat/low growth, consistent with FY21/22 actual reported growth of 2.2%</t>
  </si>
  <si>
    <t xml:space="preserve">Year 0 EBITDA Margin (%)</t>
  </si>
  <si>
    <t xml:space="preserve">Source/Note: = Entry EBITDA ÷ Year 0 Revenue (£974m ÷ £17.6bn), kept as a live formula so the two tie out exactly</t>
  </si>
  <si>
    <t xml:space="preserve">Annual EBITDA Margin Improvement (bps p.a.)</t>
  </si>
  <si>
    <t xml:space="preserve">Source/Note: Assumption: gradual efficiency gains; directionally consistent with Morrisons' actual EBITDA recovery in later years (reported ~£970m+ in most recent period)</t>
  </si>
  <si>
    <t xml:space="preserve">D&amp;A (% of Revenue)</t>
  </si>
  <si>
    <t xml:space="preserve">Source/Note: Assumption: typical for capital-intensive UK grocery retail</t>
  </si>
  <si>
    <t xml:space="preserve">Capex (% of Revenue)</t>
  </si>
  <si>
    <t xml:space="preserve">Source/Note: Assumption: maintenance + growth capex for grocery estate</t>
  </si>
  <si>
    <t xml:space="preserve">Increase in Net Working Capital (% of Revenue growth)</t>
  </si>
  <si>
    <t xml:space="preserve">Source/Note: Assumption: modest NWC drag as revenue grows</t>
  </si>
  <si>
    <t xml:space="preserve">Corporate Tax Rate (%)</t>
  </si>
  <si>
    <t xml:space="preserve">Source/Note: UK corporation tax rate</t>
  </si>
  <si>
    <t xml:space="preserve">DEBT ASSUMPTIONS</t>
  </si>
  <si>
    <t xml:space="preserve">Term Loan (Senior, Amortizing) at Entry (£m)</t>
  </si>
  <si>
    <t xml:space="preserve">Source/Note: Source: reported debt package included £2bn in term loans from banks (Grocery Gazette / BSIC), plus a separate £1bn revolving credit facility (assumed undrawn at close, not modeled as funded debt)</t>
  </si>
  <si>
    <t xml:space="preserve">Term Loan Interest Rate (%)</t>
  </si>
  <si>
    <t xml:space="preserve">Source/Note: Assumption: reflects rising-rate environment post-2022 that squeezed Morrisons per reported coverage</t>
  </si>
  <si>
    <t xml:space="preserve">Term Loan Mandatory Amortisation (% of original principal p.a.)</t>
  </si>
  <si>
    <t xml:space="preserve">Source/Note: Assumption: typical 1% p.a. mandatory amortisation on institutional term loans</t>
  </si>
  <si>
    <t xml:space="preserve">Bonds (Bullet, Non-Amortizing) at Entry (£m)</t>
  </si>
  <si>
    <t xml:space="preserve">Source/Note: Sized so Total Debt implies ~8.0x leverage on Entry EBITDA, matching Fitch's reported entry leverage of 'almost 8x EBITDA' at close (up from an earlier draft that used the raw £3.6bn bond figure and understated real leverage)</t>
  </si>
  <si>
    <t xml:space="preserve">Bond Coupon Rate (%)</t>
  </si>
  <si>
    <t xml:space="preserve">Source/Note: Assumption: junk-rated bond coupon typical for a sponsor-backed retail LBO in this period</t>
  </si>
  <si>
    <t xml:space="preserve">Cash Sweep (% of Excess FCF applied to Term Loan)</t>
  </si>
  <si>
    <t xml:space="preserve">Source/Note: Assumption: standard LBO cash sweep mechanic — bonds are bullet (no sweep), consistent with real bond structures</t>
  </si>
  <si>
    <t xml:space="preserve">Total Debt at Entry (£m)</t>
  </si>
  <si>
    <t xml:space="preserve">Checks to ~£7.8bn (~8.0x Entry EBITDA), consistent with Fitch's reported entry leverage of 'almost 8x EBITDA' — higher than the £6.1-6.2bn absolute debt figure some outlets cited, likely because that figure was net of certain adjustments</t>
  </si>
  <si>
    <t xml:space="preserve">Note on leverage sizing</t>
  </si>
  <si>
    <t xml:space="preserve">We deliberately sized Total Debt to hit the real, reported ~8.0x entry leverage (rather than the lower ~6.2bn absolute figure), since Fitch explicitly called this level of leverage 'incompatible' with an investment-grade rating — this makes the stress test meaningfully tighter against the covenant threshold, matching the real risk profile of the deal.</t>
  </si>
  <si>
    <t xml:space="preserve">EXIT ASSUMPTIONS</t>
  </si>
  <si>
    <t xml:space="preserve">Exit Year</t>
  </si>
  <si>
    <t xml:space="preserve">Note: Assumption: standard 5-year hold period</t>
  </si>
  <si>
    <t xml:space="preserve">Exit EV / EBITDA Multiple (x)</t>
  </si>
  <si>
    <t xml:space="preserve">Note: Assumption: exit at same multiple as entry (no multiple expansion assumed — conservative base case)</t>
  </si>
  <si>
    <t xml:space="preserve">COVENANT THRESHOLDS (illustrative, for stress-testing)</t>
  </si>
  <si>
    <t xml:space="preserve">Maximum Leverage Covenant (Net Debt / EBITDA, x)</t>
  </si>
  <si>
    <t xml:space="preserve">Note: Illustrative senior facility leverage covenant</t>
  </si>
  <si>
    <t xml:space="preserve">Minimum Interest Coverage Covenant (EBITDA / Interest, x)</t>
  </si>
  <si>
    <t xml:space="preserve">Note: Illustrative senior facility coverage covenant</t>
  </si>
  <si>
    <t xml:space="preserve">Sources &amp; Uses of Funds (at Entry)</t>
  </si>
  <si>
    <t xml:space="preserve">USES</t>
  </si>
  <si>
    <t xml:space="preserve">Purchase of Enterprise Value</t>
  </si>
  <si>
    <t xml:space="preserve">Transaction Fees &amp; Expenses (2.0% of EV)</t>
  </si>
  <si>
    <t xml:space="preserve">Total Uses</t>
  </si>
  <si>
    <t xml:space="preserve">SOURCES</t>
  </si>
  <si>
    <t xml:space="preserve">Senior Term Loan</t>
  </si>
  <si>
    <t xml:space="preserve">Subordinated / Mezzanine Debt</t>
  </si>
  <si>
    <t xml:space="preserve">Sponsor Equity (plug)</t>
  </si>
  <si>
    <t xml:space="preserve">Total Sources</t>
  </si>
  <si>
    <t xml:space="preserve">Balance Check (Sources - Uses)</t>
  </si>
  <si>
    <t xml:space="preserve">Operating Model (£m)</t>
  </si>
  <si>
    <t xml:space="preserve">Year 0
(Entry)</t>
  </si>
  <si>
    <t xml:space="preserve">Year 1</t>
  </si>
  <si>
    <t xml:space="preserve">Year 2</t>
  </si>
  <si>
    <t xml:space="preserve">Year 3</t>
  </si>
  <si>
    <t xml:space="preserve">Year 4</t>
  </si>
  <si>
    <t xml:space="preserve">Year 5
(Exit)</t>
  </si>
  <si>
    <t xml:space="preserve">Revenue</t>
  </si>
  <si>
    <t xml:space="preserve">Revenue Growth (%)</t>
  </si>
  <si>
    <t xml:space="preserve">n/a</t>
  </si>
  <si>
    <t xml:space="preserve">EBITDA Margin (%)</t>
  </si>
  <si>
    <t xml:space="preserve">EBITDA</t>
  </si>
  <si>
    <t xml:space="preserve">D&amp;A</t>
  </si>
  <si>
    <t xml:space="preserve">EBIT</t>
  </si>
  <si>
    <t xml:space="preserve">Interest Expense</t>
  </si>
  <si>
    <t xml:space="preserve">EBT</t>
  </si>
  <si>
    <t xml:space="preserve">Taxes</t>
  </si>
  <si>
    <t xml:space="preserve">Net Income</t>
  </si>
  <si>
    <t xml:space="preserve">(+) D&amp;A</t>
  </si>
  <si>
    <t xml:space="preserve">(-) Capex</t>
  </si>
  <si>
    <t xml:space="preserve">(-) Increase in NWC</t>
  </si>
  <si>
    <t xml:space="preserve">Free Cash Flow (pre debt service)</t>
  </si>
  <si>
    <t xml:space="preserve">Debt Schedule (£m)</t>
  </si>
  <si>
    <t xml:space="preserve">SENIOR TERM LOAN</t>
  </si>
  <si>
    <t xml:space="preserve">Opening Balance</t>
  </si>
  <si>
    <t xml:space="preserve">Mandatory Amortisation</t>
  </si>
  <si>
    <t xml:space="preserve">Cash Sweep (Optional Paydown)</t>
  </si>
  <si>
    <t xml:space="preserve">Closing Balance</t>
  </si>
  <si>
    <t xml:space="preserve">Interest Expense (on Opening Balance)</t>
  </si>
  <si>
    <t xml:space="preserve">BONDS (BULLET — NO AMORTISATION)</t>
  </si>
  <si>
    <t xml:space="preserve">Closing Balance (bullet — bonds are not amortized/swept, repaid at exit)</t>
  </si>
  <si>
    <t xml:space="preserve">TOTAL</t>
  </si>
  <si>
    <t xml:space="preserve">Total Debt (Closing)</t>
  </si>
  <si>
    <t xml:space="preserve">Total Interest Expense</t>
  </si>
  <si>
    <t xml:space="preserve">Cash Available for Sweep (pre-sweep FCF less mandatory amort)</t>
  </si>
  <si>
    <t xml:space="preserve">Credit Metrics &amp; Covenant Analysis</t>
  </si>
  <si>
    <t xml:space="preserve">EBITDA (£m)</t>
  </si>
  <si>
    <t xml:space="preserve">Total Debt (£m)</t>
  </si>
  <si>
    <t xml:space="preserve">Leverage Ratio (Debt / EBITDA)</t>
  </si>
  <si>
    <t xml:space="preserve">Interest Expense (£m)</t>
  </si>
  <si>
    <t xml:space="preserve">Interest Coverage Ratio (EBITDA / Interest)</t>
  </si>
  <si>
    <t xml:space="preserve">Free Cash Flow (pre debt service, £m)</t>
  </si>
  <si>
    <t xml:space="preserve">Mandatory Debt Service (Amort + Interest, £m)</t>
  </si>
  <si>
    <t xml:space="preserve">FCF / Debt Service Coverage</t>
  </si>
  <si>
    <t xml:space="preserve">Leverage Covenant Threshold (Max)</t>
  </si>
  <si>
    <t xml:space="preserve">Leverage Covenant Headroom (x)</t>
  </si>
  <si>
    <t xml:space="preserve">Leverage Covenant Status</t>
  </si>
  <si>
    <t xml:space="preserve">Coverage Covenant Threshold (Min)</t>
  </si>
  <si>
    <t xml:space="preserve">Coverage Covenant Headroom (x)</t>
  </si>
  <si>
    <t xml:space="preserve">Coverage Covenant Status</t>
  </si>
  <si>
    <t xml:space="preserve">Returns Analysis</t>
  </si>
  <si>
    <t xml:space="preserve">EXIT VALUATION</t>
  </si>
  <si>
    <t xml:space="preserve">Exit Year EBITDA (£m)</t>
  </si>
  <si>
    <t xml:space="preserve">Exit Enterprise Value (£m)</t>
  </si>
  <si>
    <t xml:space="preserve">Less: Exit Net Debt (£m)</t>
  </si>
  <si>
    <t xml:space="preserve">Exit Equity Value (£m)</t>
  </si>
  <si>
    <t xml:space="preserve">SPONSOR RETURNS</t>
  </si>
  <si>
    <t xml:space="preserve">Entry Sponsor Equity (£m)</t>
  </si>
  <si>
    <t xml:space="preserve">Money Multiple (MOIC)</t>
  </si>
  <si>
    <t xml:space="preserve">Holding Period (Years)</t>
  </si>
  <si>
    <t xml:space="preserve">Implied IRR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</si>
</sst>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\x"/>
    <numFmt numFmtId="167" formatCode="0.0%;\(0.0%\);\-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21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974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10.3</v>
      </c>
      <c r="C5" s="5" t="s">
        <v>5</v>
      </c>
    </row>
    <row r="6" customFormat="false" ht="15" hidden="false" customHeight="false" outlineLevel="0" collapsed="false">
      <c r="A6" s="7" t="s">
        <v>6</v>
      </c>
      <c r="B6" s="8" t="n">
        <f aca="false">B4*B5</f>
        <v>10032.2</v>
      </c>
      <c r="C6" s="5" t="s">
        <v>7</v>
      </c>
    </row>
    <row r="8" customFormat="false" ht="15" hidden="false" customHeight="false" outlineLevel="0" collapsed="false">
      <c r="A8" s="2" t="s">
        <v>8</v>
      </c>
    </row>
    <row r="9" customFormat="false" ht="15" hidden="false" customHeight="false" outlineLevel="0" collapsed="false">
      <c r="A9" s="3" t="s">
        <v>9</v>
      </c>
      <c r="B9" s="4" t="n">
        <v>17600</v>
      </c>
      <c r="C9" s="5" t="s">
        <v>10</v>
      </c>
    </row>
    <row r="10" customFormat="false" ht="15" hidden="false" customHeight="false" outlineLevel="0" collapsed="false">
      <c r="A10" s="3" t="s">
        <v>11</v>
      </c>
      <c r="B10" s="9" t="n">
        <v>0.02</v>
      </c>
      <c r="C10" s="5" t="s">
        <v>12</v>
      </c>
    </row>
    <row r="11" customFormat="false" ht="15" hidden="false" customHeight="false" outlineLevel="0" collapsed="false">
      <c r="A11" s="3" t="s">
        <v>13</v>
      </c>
      <c r="B11" s="10" t="n">
        <f aca="false">B4/B9</f>
        <v>0.0553409090909091</v>
      </c>
      <c r="C11" s="5" t="s">
        <v>14</v>
      </c>
    </row>
    <row r="12" customFormat="false" ht="15" hidden="false" customHeight="false" outlineLevel="0" collapsed="false">
      <c r="A12" s="3" t="s">
        <v>15</v>
      </c>
      <c r="B12" s="9" t="n">
        <v>0.003</v>
      </c>
      <c r="C12" s="5" t="s">
        <v>16</v>
      </c>
    </row>
    <row r="13" customFormat="false" ht="15" hidden="false" customHeight="false" outlineLevel="0" collapsed="false">
      <c r="A13" s="3" t="s">
        <v>17</v>
      </c>
      <c r="B13" s="9" t="n">
        <v>0.025</v>
      </c>
      <c r="C13" s="5" t="s">
        <v>18</v>
      </c>
    </row>
    <row r="14" customFormat="false" ht="15" hidden="false" customHeight="false" outlineLevel="0" collapsed="false">
      <c r="A14" s="3" t="s">
        <v>19</v>
      </c>
      <c r="B14" s="9" t="n">
        <v>0.03</v>
      </c>
      <c r="C14" s="5" t="s">
        <v>20</v>
      </c>
    </row>
    <row r="15" customFormat="false" ht="15" hidden="false" customHeight="false" outlineLevel="0" collapsed="false">
      <c r="A15" s="3" t="s">
        <v>21</v>
      </c>
      <c r="B15" s="9" t="n">
        <v>0.1</v>
      </c>
      <c r="C15" s="5" t="s">
        <v>22</v>
      </c>
    </row>
    <row r="16" customFormat="false" ht="15" hidden="false" customHeight="false" outlineLevel="0" collapsed="false">
      <c r="A16" s="3" t="s">
        <v>23</v>
      </c>
      <c r="B16" s="9" t="n">
        <v>0.25</v>
      </c>
      <c r="C16" s="5" t="s">
        <v>24</v>
      </c>
    </row>
    <row r="18" customFormat="false" ht="15" hidden="false" customHeight="false" outlineLevel="0" collapsed="false">
      <c r="A18" s="2" t="s">
        <v>25</v>
      </c>
    </row>
    <row r="19" customFormat="false" ht="15" hidden="false" customHeight="false" outlineLevel="0" collapsed="false">
      <c r="A19" s="3" t="s">
        <v>26</v>
      </c>
      <c r="B19" s="4" t="n">
        <v>2000</v>
      </c>
      <c r="C19" s="5" t="s">
        <v>27</v>
      </c>
    </row>
    <row r="20" customFormat="false" ht="15" hidden="false" customHeight="false" outlineLevel="0" collapsed="false">
      <c r="A20" s="3" t="s">
        <v>28</v>
      </c>
      <c r="B20" s="9" t="n">
        <v>0.065</v>
      </c>
      <c r="C20" s="5" t="s">
        <v>29</v>
      </c>
    </row>
    <row r="21" customFormat="false" ht="15" hidden="false" customHeight="false" outlineLevel="0" collapsed="false">
      <c r="A21" s="3" t="s">
        <v>30</v>
      </c>
      <c r="B21" s="9" t="n">
        <v>0.01</v>
      </c>
      <c r="C21" s="5" t="s">
        <v>31</v>
      </c>
    </row>
    <row r="22" customFormat="false" ht="15" hidden="false" customHeight="false" outlineLevel="0" collapsed="false">
      <c r="A22" s="3" t="s">
        <v>32</v>
      </c>
      <c r="B22" s="4" t="n">
        <v>5800</v>
      </c>
      <c r="C22" s="5" t="s">
        <v>33</v>
      </c>
    </row>
    <row r="23" customFormat="false" ht="15" hidden="false" customHeight="false" outlineLevel="0" collapsed="false">
      <c r="A23" s="3" t="s">
        <v>34</v>
      </c>
      <c r="B23" s="9" t="n">
        <v>0.07</v>
      </c>
      <c r="C23" s="5" t="s">
        <v>35</v>
      </c>
    </row>
    <row r="24" customFormat="false" ht="15" hidden="false" customHeight="false" outlineLevel="0" collapsed="false">
      <c r="A24" s="3" t="s">
        <v>36</v>
      </c>
      <c r="B24" s="9" t="n">
        <v>0.75</v>
      </c>
      <c r="C24" s="5" t="s">
        <v>37</v>
      </c>
    </row>
    <row r="25" customFormat="false" ht="15" hidden="false" customHeight="false" outlineLevel="0" collapsed="false">
      <c r="A25" s="7" t="s">
        <v>38</v>
      </c>
      <c r="B25" s="8" t="n">
        <f aca="false">B19+B22</f>
        <v>7800</v>
      </c>
      <c r="C25" s="5" t="s">
        <v>39</v>
      </c>
    </row>
    <row r="26" customFormat="false" ht="15" hidden="false" customHeight="false" outlineLevel="0" collapsed="false">
      <c r="A26" s="11" t="s">
        <v>40</v>
      </c>
      <c r="C26" s="5" t="s">
        <v>41</v>
      </c>
    </row>
    <row r="28" customFormat="false" ht="15" hidden="false" customHeight="false" outlineLevel="0" collapsed="false">
      <c r="A28" s="2" t="s">
        <v>42</v>
      </c>
    </row>
    <row r="29" customFormat="false" ht="15" hidden="false" customHeight="false" outlineLevel="0" collapsed="false">
      <c r="A29" s="3" t="s">
        <v>43</v>
      </c>
      <c r="B29" s="12" t="n">
        <v>5</v>
      </c>
      <c r="C29" s="5" t="s">
        <v>44</v>
      </c>
    </row>
    <row r="30" customFormat="false" ht="15" hidden="false" customHeight="false" outlineLevel="0" collapsed="false">
      <c r="A30" s="3" t="s">
        <v>45</v>
      </c>
      <c r="B30" s="6" t="n">
        <v>10.3</v>
      </c>
      <c r="C30" s="5" t="s">
        <v>46</v>
      </c>
    </row>
    <row r="32" customFormat="false" ht="15" hidden="false" customHeight="false" outlineLevel="0" collapsed="false">
      <c r="A32" s="2" t="s">
        <v>47</v>
      </c>
    </row>
    <row r="33" customFormat="false" ht="15" hidden="false" customHeight="false" outlineLevel="0" collapsed="false">
      <c r="A33" s="3" t="s">
        <v>48</v>
      </c>
      <c r="B33" s="6" t="n">
        <v>6.5</v>
      </c>
      <c r="C33" s="5" t="s">
        <v>49</v>
      </c>
    </row>
    <row r="34" customFormat="false" ht="15" hidden="false" customHeight="false" outlineLevel="0" collapsed="false">
      <c r="A34" s="3" t="s">
        <v>50</v>
      </c>
      <c r="B34" s="6" t="n">
        <v>2</v>
      </c>
      <c r="C34" s="5" t="s">
        <v>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</cols>
  <sheetData>
    <row r="1" customFormat="false" ht="21.75" hidden="false" customHeight="true" outlineLevel="0" collapsed="false">
      <c r="A1" s="1" t="s">
        <v>52</v>
      </c>
      <c r="B1" s="1"/>
      <c r="C1" s="1"/>
    </row>
    <row r="3" customFormat="false" ht="15" hidden="false" customHeight="false" outlineLevel="0" collapsed="false">
      <c r="A3" s="13" t="s">
        <v>53</v>
      </c>
      <c r="B3" s="13"/>
    </row>
    <row r="4" customFormat="false" ht="15" hidden="false" customHeight="false" outlineLevel="0" collapsed="false">
      <c r="A4" s="3" t="s">
        <v>54</v>
      </c>
      <c r="B4" s="14" t="n">
        <f aca="false">Assumptions!$B$6</f>
        <v>10032.2</v>
      </c>
    </row>
    <row r="5" customFormat="false" ht="15" hidden="false" customHeight="false" outlineLevel="0" collapsed="false">
      <c r="A5" s="3" t="s">
        <v>55</v>
      </c>
      <c r="B5" s="15" t="n">
        <f aca="false">B4*0.02</f>
        <v>200.644</v>
      </c>
    </row>
    <row r="6" customFormat="false" ht="15" hidden="false" customHeight="false" outlineLevel="0" collapsed="false">
      <c r="A6" s="7" t="s">
        <v>56</v>
      </c>
      <c r="B6" s="8" t="n">
        <f aca="false">SUM(B4:B5)</f>
        <v>10232.844</v>
      </c>
    </row>
    <row r="8" customFormat="false" ht="15" hidden="false" customHeight="false" outlineLevel="0" collapsed="false">
      <c r="A8" s="13" t="s">
        <v>57</v>
      </c>
      <c r="B8" s="13"/>
    </row>
    <row r="9" customFormat="false" ht="15" hidden="false" customHeight="false" outlineLevel="0" collapsed="false">
      <c r="A9" s="3" t="s">
        <v>58</v>
      </c>
      <c r="B9" s="14" t="n">
        <f aca="false">Assumptions!$B$19</f>
        <v>2000</v>
      </c>
    </row>
    <row r="10" customFormat="false" ht="15" hidden="false" customHeight="false" outlineLevel="0" collapsed="false">
      <c r="A10" s="3" t="s">
        <v>59</v>
      </c>
      <c r="B10" s="14" t="n">
        <f aca="false">Assumptions!$B$22</f>
        <v>5800</v>
      </c>
    </row>
    <row r="11" customFormat="false" ht="15" hidden="false" customHeight="false" outlineLevel="0" collapsed="false">
      <c r="A11" s="3" t="s">
        <v>60</v>
      </c>
      <c r="B11" s="15" t="n">
        <f aca="false">B6-B9-B10</f>
        <v>2432.844</v>
      </c>
    </row>
    <row r="12" customFormat="false" ht="15" hidden="false" customHeight="false" outlineLevel="0" collapsed="false">
      <c r="A12" s="7" t="s">
        <v>61</v>
      </c>
      <c r="B12" s="8" t="n">
        <f aca="false">SUM(B9:B11)</f>
        <v>10232.844</v>
      </c>
    </row>
    <row r="14" customFormat="false" ht="15" hidden="false" customHeight="false" outlineLevel="0" collapsed="false">
      <c r="A14" s="7" t="s">
        <v>62</v>
      </c>
      <c r="B14" s="8" t="n">
        <f aca="false">B12-B6</f>
        <v>0</v>
      </c>
    </row>
  </sheetData>
  <mergeCells count="3">
    <mergeCell ref="A1:C1"/>
    <mergeCell ref="A3:B3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5"/>
  </cols>
  <sheetData>
    <row r="1" customFormat="false" ht="21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B2" s="16" t="s">
        <v>64</v>
      </c>
      <c r="C2" s="16" t="s">
        <v>65</v>
      </c>
      <c r="D2" s="16" t="s">
        <v>66</v>
      </c>
      <c r="E2" s="16" t="s">
        <v>67</v>
      </c>
      <c r="F2" s="16" t="s">
        <v>68</v>
      </c>
      <c r="G2" s="16" t="s">
        <v>69</v>
      </c>
    </row>
    <row r="3" customFormat="false" ht="15" hidden="false" customHeight="false" outlineLevel="0" collapsed="false">
      <c r="A3" s="3" t="s">
        <v>70</v>
      </c>
      <c r="B3" s="15" t="n">
        <f aca="false">Assumptions!$B$9</f>
        <v>17600</v>
      </c>
      <c r="C3" s="15" t="n">
        <f aca="false">B3*(1+C4)</f>
        <v>17952</v>
      </c>
      <c r="D3" s="15" t="n">
        <f aca="false">C3*(1+D4)</f>
        <v>18311.04</v>
      </c>
      <c r="E3" s="15" t="n">
        <f aca="false">D3*(1+E4)</f>
        <v>18677.2608</v>
      </c>
      <c r="F3" s="15" t="n">
        <f aca="false">E3*(1+F4)</f>
        <v>19050.806016</v>
      </c>
      <c r="G3" s="15" t="n">
        <f aca="false">F3*(1+G4)</f>
        <v>19431.82213632</v>
      </c>
    </row>
    <row r="4" customFormat="false" ht="15" hidden="false" customHeight="false" outlineLevel="0" collapsed="false">
      <c r="A4" s="3" t="s">
        <v>71</v>
      </c>
      <c r="B4" s="17" t="s">
        <v>72</v>
      </c>
      <c r="C4" s="17" t="n">
        <f aca="false">Assumptions!$B$10</f>
        <v>0.02</v>
      </c>
      <c r="D4" s="17" t="n">
        <f aca="false">Assumptions!$B$10</f>
        <v>0.02</v>
      </c>
      <c r="E4" s="17" t="n">
        <f aca="false">Assumptions!$B$10</f>
        <v>0.02</v>
      </c>
      <c r="F4" s="17" t="n">
        <f aca="false">Assumptions!$B$10</f>
        <v>0.02</v>
      </c>
      <c r="G4" s="17" t="n">
        <f aca="false">Assumptions!$B$10</f>
        <v>0.02</v>
      </c>
    </row>
    <row r="5" customFormat="false" ht="15" hidden="false" customHeight="false" outlineLevel="0" collapsed="false">
      <c r="A5" s="3" t="s">
        <v>73</v>
      </c>
      <c r="B5" s="17" t="n">
        <f aca="false">Assumptions!$B$11</f>
        <v>0.0553409090909091</v>
      </c>
      <c r="C5" s="17" t="n">
        <f aca="false">B5+Assumptions!$B$12</f>
        <v>0.0583409090909091</v>
      </c>
      <c r="D5" s="17" t="n">
        <f aca="false">C5+Assumptions!$B$12</f>
        <v>0.0613409090909091</v>
      </c>
      <c r="E5" s="17" t="n">
        <f aca="false">D5+Assumptions!$B$12</f>
        <v>0.0643409090909091</v>
      </c>
      <c r="F5" s="17" t="n">
        <f aca="false">E5+Assumptions!$B$12</f>
        <v>0.0673409090909091</v>
      </c>
      <c r="G5" s="17" t="n">
        <f aca="false">F5+Assumptions!$B$12</f>
        <v>0.0703409090909091</v>
      </c>
    </row>
    <row r="6" customFormat="false" ht="15" hidden="false" customHeight="false" outlineLevel="0" collapsed="false">
      <c r="A6" s="7" t="s">
        <v>74</v>
      </c>
      <c r="B6" s="8" t="n">
        <f aca="false">B3*B5</f>
        <v>974</v>
      </c>
      <c r="C6" s="8" t="n">
        <f aca="false">C3*C5</f>
        <v>1047.336</v>
      </c>
      <c r="D6" s="8" t="n">
        <f aca="false">D3*D5</f>
        <v>1123.21584</v>
      </c>
      <c r="E6" s="8" t="n">
        <f aca="false">E3*E5</f>
        <v>1201.7119392</v>
      </c>
      <c r="F6" s="8" t="n">
        <f aca="false">F3*F5</f>
        <v>1282.898596032</v>
      </c>
      <c r="G6" s="8" t="n">
        <f aca="false">G3*G5</f>
        <v>1366.8520343616</v>
      </c>
    </row>
    <row r="7" customFormat="false" ht="15" hidden="false" customHeight="false" outlineLevel="0" collapsed="false">
      <c r="A7" s="3" t="s">
        <v>75</v>
      </c>
      <c r="B7" s="15" t="n">
        <f aca="false">B3*Assumptions!$B$13</f>
        <v>440</v>
      </c>
      <c r="C7" s="15" t="n">
        <f aca="false">C3*Assumptions!$B$13</f>
        <v>448.8</v>
      </c>
      <c r="D7" s="15" t="n">
        <f aca="false">D3*Assumptions!$B$13</f>
        <v>457.776</v>
      </c>
      <c r="E7" s="15" t="n">
        <f aca="false">E3*Assumptions!$B$13</f>
        <v>466.93152</v>
      </c>
      <c r="F7" s="15" t="n">
        <f aca="false">F3*Assumptions!$B$13</f>
        <v>476.2701504</v>
      </c>
      <c r="G7" s="15" t="n">
        <f aca="false">G3*Assumptions!$B$13</f>
        <v>485.795553408</v>
      </c>
    </row>
    <row r="8" customFormat="false" ht="15" hidden="false" customHeight="false" outlineLevel="0" collapsed="false">
      <c r="A8" s="7" t="s">
        <v>76</v>
      </c>
      <c r="B8" s="8" t="n">
        <f aca="false">B6-B7</f>
        <v>534</v>
      </c>
      <c r="C8" s="8" t="n">
        <f aca="false">C6-C7</f>
        <v>598.536</v>
      </c>
      <c r="D8" s="8" t="n">
        <f aca="false">D6-D7</f>
        <v>665.43984</v>
      </c>
      <c r="E8" s="8" t="n">
        <f aca="false">E6-E7</f>
        <v>734.7804192</v>
      </c>
      <c r="F8" s="8" t="n">
        <f aca="false">F6-F7</f>
        <v>806.628445632</v>
      </c>
      <c r="G8" s="8" t="n">
        <f aca="false">G6-G7</f>
        <v>881.0564809536</v>
      </c>
    </row>
    <row r="9" customFormat="false" ht="15" hidden="false" customHeight="false" outlineLevel="0" collapsed="false">
      <c r="A9" s="3" t="s">
        <v>77</v>
      </c>
      <c r="B9" s="14" t="n">
        <f aca="false">'Debt Schedule'!B17</f>
        <v>0</v>
      </c>
      <c r="C9" s="14" t="n">
        <f aca="false">'Debt Schedule'!C17</f>
        <v>536</v>
      </c>
      <c r="D9" s="14" t="n">
        <f aca="false">'Debt Schedule'!D17</f>
        <v>534.7</v>
      </c>
      <c r="E9" s="14" t="n">
        <f aca="false">'Debt Schedule'!E17</f>
        <v>533.4</v>
      </c>
      <c r="F9" s="14" t="n">
        <f aca="false">'Debt Schedule'!F17</f>
        <v>532.049937143</v>
      </c>
      <c r="G9" s="14" t="n">
        <f aca="false">'Debt Schedule'!G17</f>
        <v>528.150327320771</v>
      </c>
    </row>
    <row r="10" customFormat="false" ht="15" hidden="false" customHeight="false" outlineLevel="0" collapsed="false">
      <c r="A10" s="3" t="s">
        <v>78</v>
      </c>
      <c r="B10" s="15" t="n">
        <f aca="false">B8-B9</f>
        <v>534</v>
      </c>
      <c r="C10" s="15" t="n">
        <f aca="false">C8-C9</f>
        <v>62.5360000000001</v>
      </c>
      <c r="D10" s="15" t="n">
        <f aca="false">D8-D9</f>
        <v>130.73984</v>
      </c>
      <c r="E10" s="15" t="n">
        <f aca="false">E8-E9</f>
        <v>201.3804192</v>
      </c>
      <c r="F10" s="15" t="n">
        <f aca="false">F8-F9</f>
        <v>274.578508489</v>
      </c>
      <c r="G10" s="15" t="n">
        <f aca="false">G8-G9</f>
        <v>352.906153632829</v>
      </c>
    </row>
    <row r="11" customFormat="false" ht="15" hidden="false" customHeight="false" outlineLevel="0" collapsed="false">
      <c r="A11" s="3" t="s">
        <v>79</v>
      </c>
      <c r="B11" s="15" t="n">
        <f aca="false">MAX(0,B10)*Assumptions!$B$16</f>
        <v>133.5</v>
      </c>
      <c r="C11" s="15" t="n">
        <f aca="false">MAX(0,C10)*Assumptions!$B$16</f>
        <v>15.634</v>
      </c>
      <c r="D11" s="15" t="n">
        <f aca="false">MAX(0,D10)*Assumptions!$B$16</f>
        <v>32.68496</v>
      </c>
      <c r="E11" s="15" t="n">
        <f aca="false">MAX(0,E10)*Assumptions!$B$16</f>
        <v>50.3451048</v>
      </c>
      <c r="F11" s="15" t="n">
        <f aca="false">MAX(0,F10)*Assumptions!$B$16</f>
        <v>68.64462712225</v>
      </c>
      <c r="G11" s="15" t="n">
        <f aca="false">MAX(0,G10)*Assumptions!$B$16</f>
        <v>88.2265384082074</v>
      </c>
    </row>
    <row r="12" customFormat="false" ht="15" hidden="false" customHeight="false" outlineLevel="0" collapsed="false">
      <c r="A12" s="7" t="s">
        <v>80</v>
      </c>
      <c r="B12" s="8" t="n">
        <f aca="false">B10-B11</f>
        <v>400.5</v>
      </c>
      <c r="C12" s="8" t="n">
        <f aca="false">C10-C11</f>
        <v>46.902</v>
      </c>
      <c r="D12" s="8" t="n">
        <f aca="false">D10-D11</f>
        <v>98.0548800000001</v>
      </c>
      <c r="E12" s="8" t="n">
        <f aca="false">E10-E11</f>
        <v>151.0353144</v>
      </c>
      <c r="F12" s="8" t="n">
        <f aca="false">F10-F11</f>
        <v>205.93388136675</v>
      </c>
      <c r="G12" s="8" t="n">
        <f aca="false">G10-G11</f>
        <v>264.679615224622</v>
      </c>
    </row>
    <row r="13" customFormat="false" ht="15" hidden="false" customHeight="false" outlineLevel="0" collapsed="false">
      <c r="A13" s="3" t="s">
        <v>81</v>
      </c>
      <c r="B13" s="15" t="n">
        <f aca="false">B7</f>
        <v>440</v>
      </c>
      <c r="C13" s="15" t="n">
        <f aca="false">C7</f>
        <v>448.8</v>
      </c>
      <c r="D13" s="15" t="n">
        <f aca="false">D7</f>
        <v>457.776</v>
      </c>
      <c r="E13" s="15" t="n">
        <f aca="false">E7</f>
        <v>466.93152</v>
      </c>
      <c r="F13" s="15" t="n">
        <f aca="false">F7</f>
        <v>476.2701504</v>
      </c>
      <c r="G13" s="15" t="n">
        <f aca="false">G7</f>
        <v>485.795553408</v>
      </c>
    </row>
    <row r="14" customFormat="false" ht="15" hidden="false" customHeight="false" outlineLevel="0" collapsed="false">
      <c r="A14" s="3" t="s">
        <v>82</v>
      </c>
      <c r="B14" s="15" t="n">
        <f aca="false">B3*Assumptions!$B$14</f>
        <v>528</v>
      </c>
      <c r="C14" s="15" t="n">
        <f aca="false">C3*Assumptions!$B$14</f>
        <v>538.56</v>
      </c>
      <c r="D14" s="15" t="n">
        <f aca="false">D3*Assumptions!$B$14</f>
        <v>549.3312</v>
      </c>
      <c r="E14" s="15" t="n">
        <f aca="false">E3*Assumptions!$B$14</f>
        <v>560.317824</v>
      </c>
      <c r="F14" s="15" t="n">
        <f aca="false">F3*Assumptions!$B$14</f>
        <v>571.52418048</v>
      </c>
      <c r="G14" s="15" t="n">
        <f aca="false">G3*Assumptions!$B$14</f>
        <v>582.9546640896</v>
      </c>
    </row>
    <row r="15" customFormat="false" ht="15" hidden="false" customHeight="false" outlineLevel="0" collapsed="false">
      <c r="A15" s="3" t="s">
        <v>83</v>
      </c>
      <c r="B15" s="15" t="n">
        <v>0</v>
      </c>
      <c r="C15" s="15" t="n">
        <f aca="false">(C3-B3)*Assumptions!$B$15</f>
        <v>35.2</v>
      </c>
      <c r="D15" s="15" t="n">
        <f aca="false">(D3-C3)*Assumptions!$B$15</f>
        <v>35.9040000000001</v>
      </c>
      <c r="E15" s="15" t="n">
        <f aca="false">(E3-D3)*Assumptions!$B$15</f>
        <v>36.6220799999999</v>
      </c>
      <c r="F15" s="15" t="n">
        <f aca="false">(F3-E3)*Assumptions!$B$15</f>
        <v>37.3545215999999</v>
      </c>
      <c r="G15" s="15" t="n">
        <f aca="false">(G3-F3)*Assumptions!$B$15</f>
        <v>38.1016120320001</v>
      </c>
    </row>
    <row r="16" customFormat="false" ht="15" hidden="false" customHeight="false" outlineLevel="0" collapsed="false">
      <c r="A16" s="7" t="s">
        <v>84</v>
      </c>
      <c r="B16" s="8" t="n">
        <f aca="false">B12+B13-B14-B15</f>
        <v>312.5</v>
      </c>
      <c r="C16" s="8" t="n">
        <f aca="false">C12+C13-C14-C15</f>
        <v>-78.0579999999999</v>
      </c>
      <c r="D16" s="8" t="n">
        <f aca="false">D12+D13-D14-D15</f>
        <v>-29.4043199999999</v>
      </c>
      <c r="E16" s="8" t="n">
        <f aca="false">E12+E13-E14-E15</f>
        <v>21.0269304000001</v>
      </c>
      <c r="F16" s="8" t="n">
        <f aca="false">F12+F13-F14-F15</f>
        <v>73.3253296867503</v>
      </c>
      <c r="G16" s="8" t="n">
        <f aca="false">G12+G13-G14-G15</f>
        <v>129.418892511022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21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B2" s="16" t="s">
        <v>64</v>
      </c>
      <c r="C2" s="16" t="s">
        <v>65</v>
      </c>
      <c r="D2" s="16" t="s">
        <v>66</v>
      </c>
      <c r="E2" s="16" t="s">
        <v>67</v>
      </c>
      <c r="F2" s="16" t="s">
        <v>68</v>
      </c>
      <c r="G2" s="16" t="s">
        <v>69</v>
      </c>
    </row>
    <row r="3" customFormat="false" ht="15" hidden="false" customHeight="false" outlineLevel="0" collapsed="false">
      <c r="A3" s="13" t="s">
        <v>86</v>
      </c>
      <c r="B3" s="13"/>
      <c r="C3" s="13"/>
      <c r="D3" s="13"/>
      <c r="E3" s="13"/>
      <c r="F3" s="13"/>
      <c r="G3" s="13"/>
    </row>
    <row r="4" customFormat="false" ht="15" hidden="false" customHeight="false" outlineLevel="0" collapsed="false">
      <c r="A4" s="3" t="s">
        <v>87</v>
      </c>
      <c r="B4" s="15" t="n">
        <f aca="false">Assumptions!$B$19</f>
        <v>2000</v>
      </c>
      <c r="C4" s="15" t="n">
        <f aca="false">B7</f>
        <v>2000</v>
      </c>
      <c r="D4" s="15" t="n">
        <f aca="false">C7</f>
        <v>1980</v>
      </c>
      <c r="E4" s="15" t="n">
        <f aca="false">D7</f>
        <v>1960</v>
      </c>
      <c r="F4" s="15" t="n">
        <f aca="false">E7</f>
        <v>1939.2298022</v>
      </c>
      <c r="G4" s="15" t="n">
        <f aca="false">F7</f>
        <v>1879.23580493494</v>
      </c>
    </row>
    <row r="5" customFormat="false" ht="15" hidden="false" customHeight="false" outlineLevel="0" collapsed="false">
      <c r="A5" s="3" t="s">
        <v>88</v>
      </c>
      <c r="B5" s="15" t="n">
        <v>0</v>
      </c>
      <c r="C5" s="15" t="n">
        <f aca="false">MIN(C4,Assumptions!$B$19*Assumptions!$B$21)</f>
        <v>20</v>
      </c>
      <c r="D5" s="15" t="n">
        <f aca="false">MIN(D4,Assumptions!$B$19*Assumptions!$B$21)</f>
        <v>20</v>
      </c>
      <c r="E5" s="15" t="n">
        <f aca="false">MIN(E4,Assumptions!$B$19*Assumptions!$B$21)</f>
        <v>20</v>
      </c>
      <c r="F5" s="15" t="n">
        <f aca="false">MIN(F4,Assumptions!$B$19*Assumptions!$B$21)</f>
        <v>20</v>
      </c>
      <c r="G5" s="15" t="n">
        <f aca="false">MIN(G4,Assumptions!$B$19*Assumptions!$B$21)</f>
        <v>20</v>
      </c>
    </row>
    <row r="6" customFormat="false" ht="15" hidden="false" customHeight="false" outlineLevel="0" collapsed="false">
      <c r="A6" s="3" t="s">
        <v>89</v>
      </c>
      <c r="B6" s="15" t="n">
        <v>0</v>
      </c>
      <c r="C6" s="15" t="n">
        <f aca="false">MIN(C18*Assumptions!$B$24,C4-C5)</f>
        <v>0</v>
      </c>
      <c r="D6" s="15" t="n">
        <f aca="false">MIN(D18*Assumptions!$B$24,D4-D5)</f>
        <v>0</v>
      </c>
      <c r="E6" s="15" t="n">
        <f aca="false">MIN(E18*Assumptions!$B$24,E4-E5)</f>
        <v>0.77019780000011</v>
      </c>
      <c r="F6" s="15" t="n">
        <f aca="false">MIN(F18*Assumptions!$B$24,F4-F5)</f>
        <v>39.9939972650627</v>
      </c>
      <c r="G6" s="15" t="n">
        <f aca="false">MIN(G18*Assumptions!$B$24,G4-G5)</f>
        <v>82.0641693832664</v>
      </c>
    </row>
    <row r="7" customFormat="false" ht="15" hidden="false" customHeight="false" outlineLevel="0" collapsed="false">
      <c r="A7" s="7" t="s">
        <v>90</v>
      </c>
      <c r="B7" s="8" t="n">
        <f aca="false">B4-B5-B6</f>
        <v>2000</v>
      </c>
      <c r="C7" s="8" t="n">
        <f aca="false">C4-C5-C6</f>
        <v>1980</v>
      </c>
      <c r="D7" s="8" t="n">
        <f aca="false">D4-D5-D6</f>
        <v>1960</v>
      </c>
      <c r="E7" s="8" t="n">
        <f aca="false">E4-E5-E6</f>
        <v>1939.2298022</v>
      </c>
      <c r="F7" s="8" t="n">
        <f aca="false">F4-F5-F6</f>
        <v>1879.23580493494</v>
      </c>
      <c r="G7" s="8" t="n">
        <f aca="false">G4-G5-G6</f>
        <v>1777.17163555167</v>
      </c>
    </row>
    <row r="8" customFormat="false" ht="15" hidden="false" customHeight="false" outlineLevel="0" collapsed="false">
      <c r="A8" s="3" t="s">
        <v>91</v>
      </c>
      <c r="B8" s="15" t="n">
        <v>0</v>
      </c>
      <c r="C8" s="15" t="n">
        <f aca="false">C4*Assumptions!$B$20</f>
        <v>130</v>
      </c>
      <c r="D8" s="15" t="n">
        <f aca="false">D4*Assumptions!$B$20</f>
        <v>128.7</v>
      </c>
      <c r="E8" s="15" t="n">
        <f aca="false">E4*Assumptions!$B$20</f>
        <v>127.4</v>
      </c>
      <c r="F8" s="15" t="n">
        <f aca="false">F4*Assumptions!$B$20</f>
        <v>126.049937143</v>
      </c>
      <c r="G8" s="15" t="n">
        <f aca="false">G4*Assumptions!$B$20</f>
        <v>122.150327320771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13" t="s">
        <v>92</v>
      </c>
      <c r="B10" s="13"/>
      <c r="C10" s="13"/>
      <c r="D10" s="13"/>
      <c r="E10" s="13"/>
      <c r="F10" s="13"/>
      <c r="G10" s="13"/>
    </row>
    <row r="11" customFormat="false" ht="15" hidden="false" customHeight="false" outlineLevel="0" collapsed="false">
      <c r="A11" s="3" t="s">
        <v>87</v>
      </c>
      <c r="B11" s="15" t="n">
        <f aca="false">Assumptions!$B$22</f>
        <v>5800</v>
      </c>
      <c r="C11" s="15" t="n">
        <f aca="false">B12</f>
        <v>5800</v>
      </c>
      <c r="D11" s="15" t="n">
        <f aca="false">C12</f>
        <v>5800</v>
      </c>
      <c r="E11" s="15" t="n">
        <f aca="false">D12</f>
        <v>5800</v>
      </c>
      <c r="F11" s="15" t="n">
        <f aca="false">E12</f>
        <v>5800</v>
      </c>
      <c r="G11" s="15" t="n">
        <f aca="false">F12</f>
        <v>5800</v>
      </c>
    </row>
    <row r="12" customFormat="false" ht="15" hidden="false" customHeight="false" outlineLevel="0" collapsed="false">
      <c r="A12" s="7" t="s">
        <v>93</v>
      </c>
      <c r="B12" s="8" t="n">
        <f aca="false">B11</f>
        <v>5800</v>
      </c>
      <c r="C12" s="8" t="n">
        <f aca="false">C11</f>
        <v>5800</v>
      </c>
      <c r="D12" s="8" t="n">
        <f aca="false">D11</f>
        <v>5800</v>
      </c>
      <c r="E12" s="8" t="n">
        <f aca="false">E11</f>
        <v>5800</v>
      </c>
      <c r="F12" s="8" t="n">
        <f aca="false">F11</f>
        <v>5800</v>
      </c>
      <c r="G12" s="8" t="n">
        <f aca="false">G11</f>
        <v>5800</v>
      </c>
    </row>
    <row r="13" customFormat="false" ht="15" hidden="false" customHeight="false" outlineLevel="0" collapsed="false">
      <c r="A13" s="3" t="s">
        <v>91</v>
      </c>
      <c r="B13" s="15" t="n">
        <v>0</v>
      </c>
      <c r="C13" s="15" t="n">
        <f aca="false">C11*Assumptions!$B$23</f>
        <v>406</v>
      </c>
      <c r="D13" s="15" t="n">
        <f aca="false">D11*Assumptions!$B$23</f>
        <v>406</v>
      </c>
      <c r="E13" s="15" t="n">
        <f aca="false">E11*Assumptions!$B$23</f>
        <v>406</v>
      </c>
      <c r="F13" s="15" t="n">
        <f aca="false">F11*Assumptions!$B$23</f>
        <v>406</v>
      </c>
      <c r="G13" s="15" t="n">
        <f aca="false">G11*Assumptions!$B$23</f>
        <v>406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13" t="s">
        <v>94</v>
      </c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7" t="s">
        <v>95</v>
      </c>
      <c r="B16" s="8" t="n">
        <f aca="false">B7+B12</f>
        <v>7800</v>
      </c>
      <c r="C16" s="8" t="n">
        <f aca="false">C7+C12</f>
        <v>7780</v>
      </c>
      <c r="D16" s="8" t="n">
        <f aca="false">D7+D12</f>
        <v>7760</v>
      </c>
      <c r="E16" s="8" t="n">
        <f aca="false">E7+E12</f>
        <v>7739.2298022</v>
      </c>
      <c r="F16" s="8" t="n">
        <f aca="false">F7+F12</f>
        <v>7679.23580493494</v>
      </c>
      <c r="G16" s="8" t="n">
        <f aca="false">G7+G12</f>
        <v>7577.17163555167</v>
      </c>
    </row>
    <row r="17" customFormat="false" ht="15" hidden="false" customHeight="false" outlineLevel="0" collapsed="false">
      <c r="A17" s="7" t="s">
        <v>96</v>
      </c>
      <c r="B17" s="8" t="n">
        <f aca="false">B8+B13</f>
        <v>0</v>
      </c>
      <c r="C17" s="8" t="n">
        <f aca="false">C8+C13</f>
        <v>536</v>
      </c>
      <c r="D17" s="8" t="n">
        <f aca="false">D8+D13</f>
        <v>534.7</v>
      </c>
      <c r="E17" s="8" t="n">
        <f aca="false">E8+E13</f>
        <v>533.4</v>
      </c>
      <c r="F17" s="8" t="n">
        <f aca="false">F8+F13</f>
        <v>532.049937143</v>
      </c>
      <c r="G17" s="8" t="n">
        <f aca="false">G8+G13</f>
        <v>528.150327320771</v>
      </c>
    </row>
    <row r="18" customFormat="false" ht="15" hidden="false" customHeight="false" outlineLevel="0" collapsed="false">
      <c r="A18" s="3" t="s">
        <v>97</v>
      </c>
      <c r="B18" s="15" t="n">
        <v>0</v>
      </c>
      <c r="C18" s="15" t="n">
        <f aca="false">MAX(0,'Operating Model'!C16-C5)</f>
        <v>0</v>
      </c>
      <c r="D18" s="15" t="n">
        <f aca="false">MAX(0,'Operating Model'!D16-D5)</f>
        <v>0</v>
      </c>
      <c r="E18" s="15" t="n">
        <f aca="false">MAX(0,'Operating Model'!E16-E5)</f>
        <v>1.02693040000015</v>
      </c>
      <c r="F18" s="15" t="n">
        <f aca="false">MAX(0,'Operating Model'!F16-F5)</f>
        <v>53.3253296867503</v>
      </c>
      <c r="G18" s="15" t="n">
        <f aca="false">MAX(0,'Operating Model'!G16-G5)</f>
        <v>109.418892511022</v>
      </c>
    </row>
  </sheetData>
  <mergeCells count="4">
    <mergeCell ref="A1:G1"/>
    <mergeCell ref="A3:G3"/>
    <mergeCell ref="A10:G10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</cols>
  <sheetData>
    <row r="1" customFormat="false" ht="21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B2" s="16" t="s">
        <v>64</v>
      </c>
      <c r="C2" s="16" t="s">
        <v>65</v>
      </c>
      <c r="D2" s="16" t="s">
        <v>66</v>
      </c>
      <c r="E2" s="16" t="s">
        <v>67</v>
      </c>
      <c r="F2" s="16" t="s">
        <v>68</v>
      </c>
      <c r="G2" s="16" t="s">
        <v>69</v>
      </c>
    </row>
    <row r="3" customFormat="false" ht="15" hidden="false" customHeight="false" outlineLevel="0" collapsed="false">
      <c r="A3" s="3" t="s">
        <v>99</v>
      </c>
      <c r="B3" s="15" t="n">
        <f aca="false">'Operating Model'!B6</f>
        <v>974</v>
      </c>
      <c r="C3" s="15" t="n">
        <f aca="false">'Operating Model'!C6</f>
        <v>1047.336</v>
      </c>
      <c r="D3" s="15" t="n">
        <f aca="false">'Operating Model'!D6</f>
        <v>1123.21584</v>
      </c>
      <c r="E3" s="15" t="n">
        <f aca="false">'Operating Model'!E6</f>
        <v>1201.7119392</v>
      </c>
      <c r="F3" s="15" t="n">
        <f aca="false">'Operating Model'!F6</f>
        <v>1282.898596032</v>
      </c>
      <c r="G3" s="15" t="n">
        <f aca="false">'Operating Model'!G6</f>
        <v>1366.8520343616</v>
      </c>
    </row>
    <row r="4" customFormat="false" ht="15" hidden="false" customHeight="false" outlineLevel="0" collapsed="false">
      <c r="A4" s="3" t="s">
        <v>100</v>
      </c>
      <c r="B4" s="15" t="n">
        <f aca="false">'Debt Schedule'!B16</f>
        <v>7800</v>
      </c>
      <c r="C4" s="15" t="n">
        <f aca="false">'Debt Schedule'!C16</f>
        <v>7780</v>
      </c>
      <c r="D4" s="15" t="n">
        <f aca="false">'Debt Schedule'!D16</f>
        <v>7760</v>
      </c>
      <c r="E4" s="15" t="n">
        <f aca="false">'Debt Schedule'!E16</f>
        <v>7739.2298022</v>
      </c>
      <c r="F4" s="15" t="n">
        <f aca="false">'Debt Schedule'!F16</f>
        <v>7679.23580493494</v>
      </c>
      <c r="G4" s="15" t="n">
        <f aca="false">'Debt Schedule'!G16</f>
        <v>7577.17163555167</v>
      </c>
    </row>
    <row r="5" customFormat="false" ht="15" hidden="false" customHeight="false" outlineLevel="0" collapsed="false">
      <c r="A5" s="7" t="s">
        <v>101</v>
      </c>
      <c r="B5" s="18" t="n">
        <f aca="false">IFERROR(B4/B3,0)</f>
        <v>8.0082135523614</v>
      </c>
      <c r="C5" s="18" t="n">
        <f aca="false">IFERROR(C4/C3,0)</f>
        <v>7.42837064705119</v>
      </c>
      <c r="D5" s="18" t="n">
        <f aca="false">IFERROR(D4/D3,0)</f>
        <v>6.90873447796106</v>
      </c>
      <c r="E5" s="18" t="n">
        <f aca="false">IFERROR(E4/E3,0)</f>
        <v>6.44017051819601</v>
      </c>
      <c r="F5" s="18" t="n">
        <f aca="false">IFERROR(F4/F3,0)</f>
        <v>5.98584785164375</v>
      </c>
      <c r="G5" s="18" t="n">
        <f aca="false">IFERROR(G4/G3,0)</f>
        <v>5.54352003367406</v>
      </c>
    </row>
    <row r="6" customFormat="false" ht="15" hidden="false" customHeight="false" outlineLevel="0" collapsed="false">
      <c r="A6" s="3" t="s">
        <v>102</v>
      </c>
      <c r="B6" s="15" t="n">
        <f aca="false">'Operating Model'!B9</f>
        <v>0</v>
      </c>
      <c r="C6" s="15" t="n">
        <f aca="false">'Operating Model'!C9</f>
        <v>536</v>
      </c>
      <c r="D6" s="15" t="n">
        <f aca="false">'Operating Model'!D9</f>
        <v>534.7</v>
      </c>
      <c r="E6" s="15" t="n">
        <f aca="false">'Operating Model'!E9</f>
        <v>533.4</v>
      </c>
      <c r="F6" s="15" t="n">
        <f aca="false">'Operating Model'!F9</f>
        <v>532.049937143</v>
      </c>
      <c r="G6" s="15" t="n">
        <f aca="false">'Operating Model'!G9</f>
        <v>528.150327320771</v>
      </c>
    </row>
    <row r="7" customFormat="false" ht="15" hidden="false" customHeight="false" outlineLevel="0" collapsed="false">
      <c r="A7" s="7" t="s">
        <v>103</v>
      </c>
      <c r="B7" s="18" t="s">
        <v>72</v>
      </c>
      <c r="C7" s="18" t="n">
        <f aca="false">IFERROR(C3/C6,0)</f>
        <v>1.95398507462687</v>
      </c>
      <c r="D7" s="18" t="n">
        <f aca="false">IFERROR(D3/D6,0)</f>
        <v>2.10064679259398</v>
      </c>
      <c r="E7" s="18" t="n">
        <f aca="false">IFERROR(E3/E6,0)</f>
        <v>2.25292826996625</v>
      </c>
      <c r="F7" s="18" t="n">
        <f aca="false">IFERROR(F3/F6,0)</f>
        <v>2.41123719123228</v>
      </c>
      <c r="G7" s="18" t="n">
        <f aca="false">IFERROR(G3/G6,0)</f>
        <v>2.58799808246913</v>
      </c>
    </row>
    <row r="8" customFormat="false" ht="15" hidden="false" customHeight="false" outlineLevel="0" collapsed="false">
      <c r="A8" s="3" t="s">
        <v>104</v>
      </c>
      <c r="B8" s="15" t="n">
        <f aca="false">'Operating Model'!B16</f>
        <v>312.5</v>
      </c>
      <c r="C8" s="15" t="n">
        <f aca="false">'Operating Model'!C16</f>
        <v>-78.0579999999999</v>
      </c>
      <c r="D8" s="15" t="n">
        <f aca="false">'Operating Model'!D16</f>
        <v>-29.4043199999999</v>
      </c>
      <c r="E8" s="15" t="n">
        <f aca="false">'Operating Model'!E16</f>
        <v>21.0269304000001</v>
      </c>
      <c r="F8" s="15" t="n">
        <f aca="false">'Operating Model'!F16</f>
        <v>73.3253296867503</v>
      </c>
      <c r="G8" s="15" t="n">
        <f aca="false">'Operating Model'!G16</f>
        <v>129.418892511022</v>
      </c>
    </row>
    <row r="9" customFormat="false" ht="15" hidden="false" customHeight="false" outlineLevel="0" collapsed="false">
      <c r="A9" s="3" t="s">
        <v>105</v>
      </c>
      <c r="B9" s="15" t="n">
        <f aca="false">'Debt Schedule'!B5+B6</f>
        <v>0</v>
      </c>
      <c r="C9" s="15" t="n">
        <f aca="false">'Debt Schedule'!C5+C6</f>
        <v>556</v>
      </c>
      <c r="D9" s="15" t="n">
        <f aca="false">'Debt Schedule'!D5+D6</f>
        <v>554.7</v>
      </c>
      <c r="E9" s="15" t="n">
        <f aca="false">'Debt Schedule'!E5+E6</f>
        <v>553.4</v>
      </c>
      <c r="F9" s="15" t="n">
        <f aca="false">'Debt Schedule'!F5+F6</f>
        <v>552.049937143</v>
      </c>
      <c r="G9" s="15" t="n">
        <f aca="false">'Debt Schedule'!G5+G6</f>
        <v>548.150327320771</v>
      </c>
    </row>
    <row r="10" customFormat="false" ht="15" hidden="false" customHeight="false" outlineLevel="0" collapsed="false">
      <c r="A10" s="7" t="s">
        <v>106</v>
      </c>
      <c r="B10" s="18" t="s">
        <v>72</v>
      </c>
      <c r="C10" s="18" t="n">
        <f aca="false">IFERROR(C8/C9,0)</f>
        <v>-0.140392086330935</v>
      </c>
      <c r="D10" s="18" t="n">
        <f aca="false">IFERROR(D8/D9,0)</f>
        <v>-0.0530094104921577</v>
      </c>
      <c r="E10" s="18" t="n">
        <f aca="false">IFERROR(E8/E9,0)</f>
        <v>0.0379958988073729</v>
      </c>
      <c r="F10" s="18" t="n">
        <f aca="false">IFERROR(F8/F9,0)</f>
        <v>0.132823726176345</v>
      </c>
      <c r="G10" s="18" t="n">
        <f aca="false">IFERROR(G8/G9,0)</f>
        <v>0.236101095010908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107</v>
      </c>
      <c r="B12" s="19" t="n">
        <f aca="false">Assumptions!$B$33</f>
        <v>6.5</v>
      </c>
      <c r="C12" s="19" t="n">
        <f aca="false">Assumptions!$B$33</f>
        <v>6.5</v>
      </c>
      <c r="D12" s="19" t="n">
        <f aca="false">Assumptions!$B$33</f>
        <v>6.5</v>
      </c>
      <c r="E12" s="19" t="n">
        <f aca="false">Assumptions!$B$33</f>
        <v>6.5</v>
      </c>
      <c r="F12" s="19" t="n">
        <f aca="false">Assumptions!$B$33</f>
        <v>6.5</v>
      </c>
      <c r="G12" s="19" t="n">
        <f aca="false">Assumptions!$B$33</f>
        <v>6.5</v>
      </c>
    </row>
    <row r="13" customFormat="false" ht="15" hidden="false" customHeight="false" outlineLevel="0" collapsed="false">
      <c r="A13" s="3" t="s">
        <v>108</v>
      </c>
      <c r="B13" s="19" t="n">
        <f aca="false">B12-B5</f>
        <v>-1.5082135523614</v>
      </c>
      <c r="C13" s="19" t="n">
        <f aca="false">C12-C5</f>
        <v>-0.928370647051185</v>
      </c>
      <c r="D13" s="19" t="n">
        <f aca="false">D12-D5</f>
        <v>-0.408734477961064</v>
      </c>
      <c r="E13" s="19" t="n">
        <f aca="false">E12-E5</f>
        <v>0.0598294818039884</v>
      </c>
      <c r="F13" s="19" t="n">
        <f aca="false">F12-F5</f>
        <v>0.514152148356246</v>
      </c>
      <c r="G13" s="19" t="n">
        <f aca="false">G12-G5</f>
        <v>0.956479966325944</v>
      </c>
    </row>
    <row r="14" customFormat="false" ht="15" hidden="false" customHeight="false" outlineLevel="0" collapsed="false">
      <c r="A14" s="3" t="s">
        <v>109</v>
      </c>
      <c r="B14" s="0" t="str">
        <f aca="false">IF(B5&gt;B12,"BREACH","OK")</f>
        <v>BREACH</v>
      </c>
      <c r="C14" s="0" t="str">
        <f aca="false">IF(C5&gt;C12,"BREACH","OK")</f>
        <v>BREACH</v>
      </c>
      <c r="D14" s="0" t="str">
        <f aca="false">IF(D5&gt;D12,"BREACH","OK")</f>
        <v>BREACH</v>
      </c>
      <c r="E14" s="0" t="str">
        <f aca="false">IF(E5&gt;E12,"BREACH","OK")</f>
        <v>OK</v>
      </c>
      <c r="F14" s="0" t="str">
        <f aca="false">IF(F5&gt;F12,"BREACH","OK")</f>
        <v>OK</v>
      </c>
      <c r="G14" s="0" t="str">
        <f aca="false">IF(G5&gt;G12,"BREACH","OK")</f>
        <v>OK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110</v>
      </c>
      <c r="B16" s="19" t="n">
        <f aca="false">Assumptions!$B$34</f>
        <v>2</v>
      </c>
      <c r="C16" s="19" t="n">
        <f aca="false">Assumptions!$B$34</f>
        <v>2</v>
      </c>
      <c r="D16" s="19" t="n">
        <f aca="false">Assumptions!$B$34</f>
        <v>2</v>
      </c>
      <c r="E16" s="19" t="n">
        <f aca="false">Assumptions!$B$34</f>
        <v>2</v>
      </c>
      <c r="F16" s="19" t="n">
        <f aca="false">Assumptions!$B$34</f>
        <v>2</v>
      </c>
      <c r="G16" s="19" t="n">
        <f aca="false">Assumptions!$B$34</f>
        <v>2</v>
      </c>
    </row>
    <row r="17" customFormat="false" ht="15" hidden="false" customHeight="false" outlineLevel="0" collapsed="false">
      <c r="A17" s="3" t="s">
        <v>111</v>
      </c>
      <c r="B17" s="19" t="s">
        <v>72</v>
      </c>
      <c r="C17" s="19" t="n">
        <f aca="false">C7-C16</f>
        <v>-0.0460149253731343</v>
      </c>
      <c r="D17" s="19" t="n">
        <f aca="false">D7-D16</f>
        <v>0.100646792593978</v>
      </c>
      <c r="E17" s="19" t="n">
        <f aca="false">E7-E16</f>
        <v>0.252928269966254</v>
      </c>
      <c r="F17" s="19" t="n">
        <f aca="false">F7-F16</f>
        <v>0.411237191232283</v>
      </c>
      <c r="G17" s="19" t="n">
        <f aca="false">G7-G16</f>
        <v>0.587998082469133</v>
      </c>
    </row>
    <row r="18" customFormat="false" ht="15" hidden="false" customHeight="false" outlineLevel="0" collapsed="false">
      <c r="A18" s="3" t="s">
        <v>112</v>
      </c>
      <c r="B18" s="20" t="s">
        <v>72</v>
      </c>
      <c r="C18" s="0" t="str">
        <f aca="false">IF(C7&lt;C16,"BREACH","OK")</f>
        <v>BREACH</v>
      </c>
      <c r="D18" s="0" t="str">
        <f aca="false">IF(D7&lt;D16,"BREACH","OK")</f>
        <v>OK</v>
      </c>
      <c r="E18" s="0" t="str">
        <f aca="false">IF(E7&lt;E16,"BREACH","OK")</f>
        <v>OK</v>
      </c>
      <c r="F18" s="0" t="str">
        <f aca="false">IF(F7&lt;F16,"BREACH","OK")</f>
        <v>OK</v>
      </c>
      <c r="G18" s="0" t="str">
        <f aca="false">IF(G7&lt;G16,"BREACH","OK")</f>
        <v>OK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1.75" hidden="false" customHeight="true" outlineLevel="0" collapsed="false">
      <c r="A1" s="1" t="s">
        <v>113</v>
      </c>
      <c r="B1" s="1"/>
    </row>
    <row r="3" customFormat="false" ht="15" hidden="false" customHeight="false" outlineLevel="0" collapsed="false">
      <c r="A3" s="13" t="s">
        <v>114</v>
      </c>
      <c r="B3" s="13"/>
    </row>
    <row r="4" customFormat="false" ht="15" hidden="false" customHeight="false" outlineLevel="0" collapsed="false">
      <c r="A4" s="3" t="s">
        <v>115</v>
      </c>
      <c r="B4" s="14" t="n">
        <f aca="false">'Operating Model'!G6</f>
        <v>1366.8520343616</v>
      </c>
    </row>
    <row r="5" customFormat="false" ht="15" hidden="false" customHeight="false" outlineLevel="0" collapsed="false">
      <c r="A5" s="3" t="s">
        <v>45</v>
      </c>
      <c r="B5" s="21" t="n">
        <f aca="false">Assumptions!$B$30</f>
        <v>10.3</v>
      </c>
    </row>
    <row r="6" customFormat="false" ht="15" hidden="false" customHeight="false" outlineLevel="0" collapsed="false">
      <c r="A6" s="7" t="s">
        <v>116</v>
      </c>
      <c r="B6" s="8" t="n">
        <f aca="false">B4*B5</f>
        <v>14078.5759539245</v>
      </c>
    </row>
    <row r="7" customFormat="false" ht="15" hidden="false" customHeight="false" outlineLevel="0" collapsed="false">
      <c r="A7" s="3" t="s">
        <v>117</v>
      </c>
      <c r="B7" s="14" t="n">
        <f aca="false">'Debt Schedule'!G16</f>
        <v>7577.17163555167</v>
      </c>
    </row>
    <row r="8" customFormat="false" ht="15" hidden="false" customHeight="false" outlineLevel="0" collapsed="false">
      <c r="A8" s="7" t="s">
        <v>118</v>
      </c>
      <c r="B8" s="8" t="n">
        <f aca="false">B6-B7</f>
        <v>6501.40431837281</v>
      </c>
    </row>
    <row r="10" customFormat="false" ht="15" hidden="false" customHeight="false" outlineLevel="0" collapsed="false">
      <c r="A10" s="2" t="s">
        <v>119</v>
      </c>
    </row>
    <row r="11" customFormat="false" ht="15" hidden="false" customHeight="false" outlineLevel="0" collapsed="false">
      <c r="A11" s="3" t="s">
        <v>120</v>
      </c>
      <c r="B11" s="14" t="n">
        <f aca="false">'Sources &amp; Uses'!B11</f>
        <v>2432.844</v>
      </c>
    </row>
    <row r="12" customFormat="false" ht="15" hidden="false" customHeight="false" outlineLevel="0" collapsed="false">
      <c r="A12" s="3" t="s">
        <v>118</v>
      </c>
      <c r="B12" s="15" t="n">
        <f aca="false">B8</f>
        <v>6501.40431837281</v>
      </c>
    </row>
    <row r="13" customFormat="false" ht="15" hidden="false" customHeight="false" outlineLevel="0" collapsed="false">
      <c r="A13" s="7" t="s">
        <v>121</v>
      </c>
      <c r="B13" s="18" t="n">
        <f aca="false">B8/B11</f>
        <v>2.67234739193011</v>
      </c>
    </row>
    <row r="14" customFormat="false" ht="15" hidden="false" customHeight="false" outlineLevel="0" collapsed="false">
      <c r="A14" s="3" t="s">
        <v>122</v>
      </c>
      <c r="B14" s="22" t="n">
        <f aca="false">Assumptions!$B$29</f>
        <v>5</v>
      </c>
    </row>
    <row r="15" customFormat="false" ht="15" hidden="false" customHeight="false" outlineLevel="0" collapsed="false">
      <c r="A15" s="7" t="s">
        <v>123</v>
      </c>
      <c r="B15" s="23" t="n">
        <f aca="false">(B8/B11)^(1/B14)-1</f>
        <v>0.217246635226232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2026-09-05T19:24:41Z</dcterms:created>
  <dc:creator>openpyxl</dc:creator>
  <dc:description/>
  <dc:language>en-US</dc:language>
  <cp:lastModifiedBy/>
  <dcterms:modified xsi:type="dcterms:W3CDTF">2026-09-05T19:24:41Z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